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2\grupo 1 (Arancibia - Gomez - Troncoso)\"/>
    </mc:Choice>
  </mc:AlternateContent>
  <xr:revisionPtr revIDLastSave="0" documentId="13_ncr:1_{EA11718E-8F7C-4E27-9916-CCE9B8E73B6B}" xr6:coauthVersionLast="47" xr6:coauthVersionMax="47" xr10:uidLastSave="{00000000-0000-0000-0000-000000000000}"/>
  <bookViews>
    <workbookView xWindow="-120" yWindow="-120" windowWidth="20730" windowHeight="111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Arturo</author>
  </authors>
  <commentList>
    <comment ref="C15" authorId="0" shapeId="0" xr:uid="{98772048-4946-42BD-9E05-23DF2F34458B}">
      <text>
        <r>
          <rPr>
            <b/>
            <sz val="11"/>
            <color indexed="81"/>
            <rFont val="Tahoma"/>
            <charset val="1"/>
          </rPr>
          <t>Deben entregar el GitHub del código base. No basta con la apk</t>
        </r>
      </text>
    </comment>
  </commentList>
</comments>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<sst xmlns="http://schemas.openxmlformats.org/spreadsheetml/2006/main" count="83" uniqueCount="65">
  <si>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</si>
  <si>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</si>
  <si>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</si>
  <si>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</si>
  <si>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</si>
  <si>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</si>
  <si>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</si>
  <si>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</si>
  <si>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</si>
  <si>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</si>
  <si>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</si>
  <si>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</si>
  <si>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</si>
  <si>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</si>
  <si>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</si>
  <si>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</si>
  <si>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</si>
  <si>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</si>
  <si>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</si>
  <si>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</si>
  <si>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</si>
  <si>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</si>
  <si>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</si>
  <si>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</si>
  <si>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</si>
  <si>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</si>
  <si>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</si>
  <si>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</si>
  <si>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</si>
  <si>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</si>
  <si>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</si>
  <si>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</si>
  <si>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</si>
  <si>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</si>
  <si>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</si>
  <si>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</si>
  <si>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</si>
  <si>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</si>
  <si>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</si>
  <si>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</si>
  <si>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</si>
  <si>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</si>
  <si>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</si>
  <si>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</si>
  <si>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</si>
  <si>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</si>
  <si>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</si>
  <si>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</si>
  <si>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</si>
  <si>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</si>
  <si>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</si>
  <si>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</si>
  <si>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</si>
  <si>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</si>
  <si>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</si>
  <si>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</si>
  <si>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</si>
  <si>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</si>
  <si>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</si>
  <si>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</si>
  <si>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</si>
  <si>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</si>
  <si>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Gabriela Gómez</t>
  </si>
  <si>
    <t>Vania Troncoso</t>
  </si>
  <si>
    <t>Ignacia Arancibia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</si>
</sst>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b/>
      <sz val="11"/>
      <color indexed="81"/>
      <name val="Tahoma"/>
      <charset val="1"/>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4" sqref="B4:B6"/>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64</v>
      </c>
      <c r="C4" s="5">
        <f>EVALUACION2!$C$22</f>
        <v>7</v>
      </c>
      <c r="G4" s="1"/>
    </row>
    <row r="5" spans="1:11">
      <c r="A5" s="4">
        <v>2</v>
      </c>
      <c r="B5" s="25" t="s">
        <v>62</v>
      </c>
      <c r="C5" s="5">
        <f>EVALUACION2!$C$22</f>
        <v>7</v>
      </c>
      <c r="G5" s="1"/>
    </row>
    <row r="6" spans="1:11">
      <c r="A6" s="4">
        <v>3</v>
      </c>
      <c r="B6" s="25" t="s">
        <v>63</v>
      </c>
      <c r="C6" s="5">
        <f>EVALUACION2!$C$22</f>
        <v>7</v>
      </c>
      <c r="G6" s="1"/>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4"/>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c r="A16" s="44"/>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3"/>
      <c r="B21" s="27" t="s">
        <v>4</v>
      </c>
      <c r="C21" s="31">
        <f>E21+G21+I21+K21</f>
        <v>100</v>
      </c>
      <c r="D21" s="16"/>
      <c r="E21" s="16">
        <f>SUM(E13:E20)</f>
        <v>100</v>
      </c>
      <c r="F21" s="16"/>
      <c r="G21" s="16">
        <f>SUM(G13:G20)</f>
        <v>0</v>
      </c>
      <c r="H21" s="16"/>
      <c r="I21" s="16">
        <f>SUM(I13:I20)</f>
        <v>0</v>
      </c>
      <c r="J21" s="16"/>
      <c r="K21" s="16">
        <f>SUM(K13:K20)</f>
        <v>0</v>
      </c>
    </row>
    <row r="22" spans="1:11" ht="15.75" customHeight="1" outlineLevel="1">
      <c r="A22" s="45"/>
      <c r="B22" s="30" t="s">
        <v>13</v>
      </c>
      <c r="C22" s="17">
        <f>VLOOKUP(C21,ESCALA_IEP!A2:B202,2,FALSE)</f>
        <v>7</v>
      </c>
    </row>
    <row r="23" spans="1:11" ht="15.75" customHeight="1"/>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7">
        <v>-0.3</v>
      </c>
      <c r="E3" s="37">
        <v>0</v>
      </c>
      <c r="F3" s="56"/>
    </row>
    <row r="4" spans="1:6" ht="51.75" thickBot="1">
      <c r="A4" s="40" t="s">
        <v>26</v>
      </c>
      <c r="B4" s="24" t="s">
        <v>27</v>
      </c>
      <c r="C4" s="24" t="s">
        <v>28</v>
      </c>
      <c r="D4" s="24" t="s">
        <v>29</v>
      </c>
      <c r="E4" s="24" t="s">
        <v>30</v>
      </c>
      <c r="F4" s="23">
        <v>10</v>
      </c>
    </row>
    <row r="5" spans="1:6" ht="51.75" thickBot="1">
      <c r="A5" s="40" t="s">
        <v>31</v>
      </c>
      <c r="B5" s="24" t="s">
        <v>41</v>
      </c>
      <c r="C5" s="24" t="s">
        <v>32</v>
      </c>
      <c r="D5" s="24" t="s">
        <v>33</v>
      </c>
      <c r="E5" s="24" t="s">
        <v>34</v>
      </c>
      <c r="F5" s="23">
        <v>10</v>
      </c>
    </row>
    <row r="6" spans="1:6" ht="90" thickBot="1">
      <c r="A6" s="40" t="s">
        <v>42</v>
      </c>
      <c r="B6" s="24" t="s">
        <v>43</v>
      </c>
      <c r="C6" s="24" t="s">
        <v>44</v>
      </c>
      <c r="D6" s="24" t="s">
        <v>45</v>
      </c>
      <c r="E6" s="24" t="s">
        <v>46</v>
      </c>
      <c r="F6" s="23">
        <v>25</v>
      </c>
    </row>
    <row r="7" spans="1:6" ht="39" thickBot="1">
      <c r="A7" s="40" t="s">
        <v>47</v>
      </c>
      <c r="B7" s="24" t="s">
        <v>48</v>
      </c>
      <c r="C7" s="24" t="s">
        <v>49</v>
      </c>
      <c r="D7" s="24" t="s">
        <v>50</v>
      </c>
      <c r="E7" s="24" t="s">
        <v>51</v>
      </c>
      <c r="F7" s="23">
        <v>5</v>
      </c>
    </row>
    <row r="8" spans="1:6" ht="51">
      <c r="A8" s="40" t="s">
        <v>35</v>
      </c>
      <c r="B8" s="24" t="s">
        <v>22</v>
      </c>
      <c r="C8" s="24" t="s">
        <v>19</v>
      </c>
      <c r="D8" s="24" t="s">
        <v>20</v>
      </c>
      <c r="E8" s="24" t="s">
        <v>21</v>
      </c>
      <c r="F8" s="38">
        <v>5</v>
      </c>
    </row>
    <row r="9" spans="1:6" ht="51.75" thickBot="1">
      <c r="A9" s="40" t="s">
        <v>52</v>
      </c>
      <c r="B9" s="24" t="s">
        <v>53</v>
      </c>
      <c r="C9" s="24" t="s">
        <v>54</v>
      </c>
      <c r="D9" s="24" t="s">
        <v>55</v>
      </c>
      <c r="E9" s="24" t="s">
        <v>56</v>
      </c>
      <c r="F9" s="23">
        <v>20</v>
      </c>
    </row>
    <row r="10" spans="1:6" ht="64.5" thickBot="1">
      <c r="A10" s="41" t="s">
        <v>57</v>
      </c>
      <c r="B10" s="39" t="s">
        <v>58</v>
      </c>
      <c r="C10" s="39" t="s">
        <v>59</v>
      </c>
      <c r="D10" s="39" t="s">
        <v>60</v>
      </c>
      <c r="E10" s="39" t="s">
        <v>61</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Alex Vargas Reyes</cp:lastModifiedBy>
  <dcterms:created xsi:type="dcterms:W3CDTF">2023-08-07T04:08:01Z</dcterms:created>
  <dcterms:modified xsi:type="dcterms:W3CDTF">2025-11-28T19:14:25Z</dcterms:modified>
</cp:coreProperties>
</file>